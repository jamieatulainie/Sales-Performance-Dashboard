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idy\Desktop\"/>
    </mc:Choice>
  </mc:AlternateContent>
  <xr:revisionPtr revIDLastSave="0" documentId="8_{9A60BD6A-BD3D-40F4-B929-5616393A186F}" xr6:coauthVersionLast="47" xr6:coauthVersionMax="47" xr10:uidLastSave="{00000000-0000-0000-0000-000000000000}"/>
  <bookViews>
    <workbookView xWindow="-110" yWindow="-110" windowWidth="19420" windowHeight="10300" activeTab="1" xr2:uid="{AECCAEC5-8737-4419-AC07-58FF6EF5E299}"/>
  </bookViews>
  <sheets>
    <sheet name="Sheet1" sheetId="1" r:id="rId1"/>
    <sheet name="Sheet2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2" l="1"/>
  <c r="D14" i="2"/>
  <c r="C15" i="2"/>
  <c r="C14" i="2"/>
  <c r="B15" i="2"/>
  <c r="B14" i="2"/>
  <c r="G5" i="2"/>
  <c r="G4" i="2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<sst xmlns="http://schemas.openxmlformats.org/spreadsheetml/2006/main" count="66" uniqueCount="27">
  <si>
    <t>Month</t>
  </si>
  <si>
    <t>Region</t>
  </si>
  <si>
    <t>Product</t>
  </si>
  <si>
    <t>Sales</t>
  </si>
  <si>
    <t>Cost</t>
  </si>
  <si>
    <t>Profit</t>
  </si>
  <si>
    <t>Jan</t>
  </si>
  <si>
    <t>North</t>
  </si>
  <si>
    <t>Laptop</t>
  </si>
  <si>
    <t>Phone</t>
  </si>
  <si>
    <t>South</t>
  </si>
  <si>
    <t>Feb</t>
  </si>
  <si>
    <t>Mar</t>
  </si>
  <si>
    <t>Row Labels</t>
  </si>
  <si>
    <t>Grand Total</t>
  </si>
  <si>
    <t>Sum of Sales</t>
  </si>
  <si>
    <t>Sum of Profit</t>
  </si>
  <si>
    <t xml:space="preserve">region </t>
  </si>
  <si>
    <t xml:space="preserve">profit margin </t>
  </si>
  <si>
    <t xml:space="preserve">north </t>
  </si>
  <si>
    <t xml:space="preserve">south </t>
  </si>
  <si>
    <t>Total Profit</t>
  </si>
  <si>
    <t>product</t>
  </si>
  <si>
    <t>total profit</t>
  </si>
  <si>
    <t xml:space="preserve">laptop </t>
  </si>
  <si>
    <t>phone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</si>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</sst>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Sheet2!$J$5:$J$6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Sheet2!$K$5:$K$6</c:f>
              <c:numCache>
                <c:formatCode>General</c:formatCode>
                <c:ptCount val="2"/>
                <c:pt idx="0">
                  <c:v>3500</c:v>
                </c:pt>
                <c:pt idx="1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9-4E2C-99AF-8EF0F5B83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119216"/>
        <c:axId val="1464782800"/>
      </c:barChart>
      <c:catAx>
        <c:axId val="118011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82800"/>
        <c:crosses val="autoZero"/>
        <c:auto val="1"/>
        <c:lblAlgn val="ctr"/>
        <c:lblOffset val="100"/>
        <c:noMultiLvlLbl val="0"/>
      </c:catAx>
      <c:valAx>
        <c:axId val="146478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1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Sheet2!$A$14:$A$15</c:f>
              <c:strCache>
                <c:ptCount val="2"/>
                <c:pt idx="0">
                  <c:v>laptop </c:v>
                </c:pt>
                <c:pt idx="1">
                  <c:v>phone</c:v>
                </c:pt>
              </c:strCache>
            </c:strRef>
          </c:cat>
          <c:val>
            <c:numRef>
              <c:f>Sheet2!$B$14:$B$15</c:f>
              <c:numCache>
                <c:formatCode>General</c:formatCode>
                <c:ptCount val="2"/>
                <c:pt idx="0">
                  <c:v>4300</c:v>
                </c:pt>
                <c:pt idx="1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1-42FB-985A-19DD412EF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439824"/>
        <c:axId val="1464747280"/>
      </c:barChart>
      <c:catAx>
        <c:axId val="146643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47280"/>
        <c:crosses val="autoZero"/>
        <c:auto val="1"/>
        <c:lblAlgn val="ctr"/>
        <c:lblOffset val="100"/>
        <c:noMultiLvlLbl val="0"/>
      </c:catAx>
      <c:valAx>
        <c:axId val="14647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43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176212</xdr:colOff>
      <xdr:row>1</xdr:row>
      <xdr:rowOff>1587</xdr:rowOff>
    </xdr:from>
    <xdr:to>
      <xdr:col>18</xdr:col>
      <xdr:colOff>476250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4F7045-9FDA-03FE-F68B-A05027F6D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99219</xdr:colOff>
      <xdr:row>7</xdr:row>
      <xdr:rowOff>29368</xdr:rowOff>
    </xdr:from>
    <xdr:to>
      <xdr:col>12</xdr:col>
      <xdr:colOff>257969</xdr:colOff>
      <xdr:row>22</xdr:row>
      <xdr:rowOff>34131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ABBACA-FA5C-B94A-15A3-82B847D19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idy" refreshedDate="46258.527264583332" createdVersion="8" refreshedVersion="8" minRefreshableVersion="3" recordCount="12" xr:uid="{1C957E2C-0F94-4BB8-8C69-DE130A48BA58}">
  <cacheSource type="worksheet">
    <worksheetSource name="Table1"/>
  </cacheSource>
  <cacheFields count="6">
    <cacheField name="Month" numFmtId="0">
      <sharedItems/>
    </cacheField>
    <cacheField name="Region" numFmtId="0">
      <sharedItems count="2">
        <s v="North"/>
        <s v="South"/>
      </sharedItems>
    </cacheField>
    <cacheField name="Product" numFmtId="0">
      <sharedItems count="2">
        <s v="Laptop"/>
        <s v="Phone"/>
      </sharedItems>
    </cacheField>
    <cacheField name="Sales" numFmtId="3">
      <sharedItems containsSemiMixedTypes="0" containsString="0" containsNumber="1" containsInteger="1" minValue="1500" maxValue="5000"/>
    </cacheField>
    <cacheField name="Cost" numFmtId="3">
      <sharedItems containsSemiMixedTypes="0" containsString="0" containsNumber="1" containsInteger="1" minValue="1300" maxValue="4000"/>
    </cacheField>
    <cacheField name="Profit" numFmtId="3">
      <sharedItems containsSemiMixedTypes="0" containsString="0" containsNumber="1" containsInteger="1" minValue="20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Jan"/>
    <x v="0"/>
    <x v="0"/>
    <n v="5000"/>
    <n v="4000"/>
    <n v="1000"/>
  </r>
  <r>
    <s v="Jan"/>
    <x v="0"/>
    <x v="1"/>
    <n v="3000"/>
    <n v="2500"/>
    <n v="500"/>
  </r>
  <r>
    <s v="Jan"/>
    <x v="1"/>
    <x v="0"/>
    <n v="4000"/>
    <n v="3200"/>
    <n v="800"/>
  </r>
  <r>
    <s v="Jan"/>
    <x v="1"/>
    <x v="1"/>
    <n v="3000"/>
    <n v="2400"/>
    <n v="600"/>
  </r>
  <r>
    <s v="Feb"/>
    <x v="0"/>
    <x v="0"/>
    <n v="4500"/>
    <n v="3700"/>
    <n v="800"/>
  </r>
  <r>
    <s v="Feb"/>
    <x v="0"/>
    <x v="1"/>
    <n v="2500"/>
    <n v="2100"/>
    <n v="400"/>
  </r>
  <r>
    <s v="Feb"/>
    <x v="1"/>
    <x v="0"/>
    <n v="3800"/>
    <n v="3100"/>
    <n v="700"/>
  </r>
  <r>
    <s v="Feb"/>
    <x v="1"/>
    <x v="1"/>
    <n v="2000"/>
    <n v="1700"/>
    <n v="300"/>
  </r>
  <r>
    <s v="Mar"/>
    <x v="0"/>
    <x v="0"/>
    <n v="3500"/>
    <n v="3000"/>
    <n v="500"/>
  </r>
  <r>
    <s v="Mar"/>
    <x v="0"/>
    <x v="1"/>
    <n v="2000"/>
    <n v="1700"/>
    <n v="300"/>
  </r>
  <r>
    <s v="Mar"/>
    <x v="1"/>
    <x v="0"/>
    <n v="3000"/>
    <n v="2500"/>
    <n v="500"/>
  </r>
  <r>
    <s v="Mar"/>
    <x v="1"/>
    <x v="1"/>
    <n v="1500"/>
    <n v="1300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F5E9F-2A37-497E-BA6E-7DC07BDDBDC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6"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3" showAll="0"/>
    <pivotField numFmtId="3" showAll="0"/>
    <pivotField dataField="1" numFmtId="3" showAll="0"/>
  </pivotFields>
  <rowFields count="2">
    <field x="1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 numFmtId="3"/>
    <dataField name="Sum of Profit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B5DC6-14A8-41DF-BC7D-C86288C2CB80}" name="Table1" displayName="Table1" ref="A1:F13" totalsRowShown="0" headerRowDxfId="0">
  <autoFilter ref="A1:F13" xr:uid="{E17B5DC6-14A8-41DF-BC7D-C86288C2CB80}"/>
  <tableColumns count="6">
    <tableColumn id="1" xr3:uid="{6AF6BEF7-1675-4C98-8E8A-56250F591DF2}" name="Month" dataDxfId="6"/>
    <tableColumn id="2" xr3:uid="{188BF450-5D0C-4346-AB50-F44EFB170BB4}" name="Region" dataDxfId="5"/>
    <tableColumn id="3" xr3:uid="{257641C0-6082-48E3-AF07-D82F650FA667}" name="Product" dataDxfId="4"/>
    <tableColumn id="4" xr3:uid="{9435B066-8907-4696-A52F-44E8FF41DBFD}" name="Sales" dataDxfId="3"/>
    <tableColumn id="5" xr3:uid="{D1BF76EA-BD20-48FB-B4D6-3DFBCDF3BDA5}" name="Cost" dataDxfId="2"/>
    <tableColumn id="6" xr3:uid="{FA631B90-4A9F-43DB-86B1-66004747DB9A}" name="Profit" dataDxfId="1">
      <calculatedColumnFormula>D2-E2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75D9-09AB-4CD4-B9A0-0F6E8E533AF4}">
  <dimension ref="A1:F13"/>
  <sheetViews>
    <sheetView workbookViewId="0">
      <selection activeCell="A3" sqref="A3"/>
    </sheetView>
  </sheetViews>
  <sheetFormatPr defaultRowHeight="14.5" x14ac:dyDescent="0.35"/>
  <cols>
    <col min="3" max="3" width="9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 t="s">
        <v>6</v>
      </c>
      <c r="B2" s="4" t="s">
        <v>7</v>
      </c>
      <c r="C2" s="4" t="s">
        <v>8</v>
      </c>
      <c r="D2" s="6">
        <v>5000</v>
      </c>
      <c r="E2" s="6">
        <v>4000</v>
      </c>
      <c r="F2" s="7">
        <f>D2-E2</f>
        <v>1000</v>
      </c>
    </row>
    <row r="3" spans="1:6" x14ac:dyDescent="0.35">
      <c r="A3" s="4" t="s">
        <v>6</v>
      </c>
      <c r="B3" s="4" t="s">
        <v>7</v>
      </c>
      <c r="C3" s="4" t="s">
        <v>9</v>
      </c>
      <c r="D3" s="6">
        <v>3000</v>
      </c>
      <c r="E3" s="6">
        <v>2500</v>
      </c>
      <c r="F3" s="7">
        <f t="shared" ref="F3:F13" si="0">D3-E3</f>
        <v>500</v>
      </c>
    </row>
    <row r="4" spans="1:6" x14ac:dyDescent="0.35">
      <c r="A4" s="4" t="s">
        <v>6</v>
      </c>
      <c r="B4" s="4" t="s">
        <v>10</v>
      </c>
      <c r="C4" s="4" t="s">
        <v>8</v>
      </c>
      <c r="D4" s="6">
        <v>4000</v>
      </c>
      <c r="E4" s="6">
        <v>3200</v>
      </c>
      <c r="F4" s="7">
        <f t="shared" si="0"/>
        <v>800</v>
      </c>
    </row>
    <row r="5" spans="1:6" x14ac:dyDescent="0.35">
      <c r="A5" s="4" t="s">
        <v>6</v>
      </c>
      <c r="B5" s="4" t="s">
        <v>10</v>
      </c>
      <c r="C5" s="4" t="s">
        <v>9</v>
      </c>
      <c r="D5" s="6">
        <v>3000</v>
      </c>
      <c r="E5" s="6">
        <v>2400</v>
      </c>
      <c r="F5" s="7">
        <f t="shared" si="0"/>
        <v>600</v>
      </c>
    </row>
    <row r="6" spans="1:6" x14ac:dyDescent="0.35">
      <c r="A6" s="4" t="s">
        <v>11</v>
      </c>
      <c r="B6" s="4" t="s">
        <v>7</v>
      </c>
      <c r="C6" s="4" t="s">
        <v>8</v>
      </c>
      <c r="D6" s="6">
        <v>4500</v>
      </c>
      <c r="E6" s="6">
        <v>3700</v>
      </c>
      <c r="F6" s="7">
        <f t="shared" si="0"/>
        <v>800</v>
      </c>
    </row>
    <row r="7" spans="1:6" x14ac:dyDescent="0.35">
      <c r="A7" s="4" t="s">
        <v>11</v>
      </c>
      <c r="B7" s="4" t="s">
        <v>7</v>
      </c>
      <c r="C7" s="4" t="s">
        <v>9</v>
      </c>
      <c r="D7" s="6">
        <v>2500</v>
      </c>
      <c r="E7" s="6">
        <v>2100</v>
      </c>
      <c r="F7" s="7">
        <f t="shared" si="0"/>
        <v>400</v>
      </c>
    </row>
    <row r="8" spans="1:6" x14ac:dyDescent="0.35">
      <c r="A8" s="4" t="s">
        <v>11</v>
      </c>
      <c r="B8" s="4" t="s">
        <v>10</v>
      </c>
      <c r="C8" s="4" t="s">
        <v>8</v>
      </c>
      <c r="D8" s="6">
        <v>3800</v>
      </c>
      <c r="E8" s="6">
        <v>3100</v>
      </c>
      <c r="F8" s="7">
        <f t="shared" si="0"/>
        <v>700</v>
      </c>
    </row>
    <row r="9" spans="1:6" x14ac:dyDescent="0.35">
      <c r="A9" s="4" t="s">
        <v>11</v>
      </c>
      <c r="B9" s="4" t="s">
        <v>10</v>
      </c>
      <c r="C9" s="4" t="s">
        <v>9</v>
      </c>
      <c r="D9" s="6">
        <v>2000</v>
      </c>
      <c r="E9" s="6">
        <v>1700</v>
      </c>
      <c r="F9" s="7">
        <f t="shared" si="0"/>
        <v>300</v>
      </c>
    </row>
    <row r="10" spans="1:6" x14ac:dyDescent="0.35">
      <c r="A10" s="4" t="s">
        <v>12</v>
      </c>
      <c r="B10" s="4" t="s">
        <v>7</v>
      </c>
      <c r="C10" s="4" t="s">
        <v>8</v>
      </c>
      <c r="D10" s="6">
        <v>3500</v>
      </c>
      <c r="E10" s="6">
        <v>3000</v>
      </c>
      <c r="F10" s="7">
        <f t="shared" si="0"/>
        <v>500</v>
      </c>
    </row>
    <row r="11" spans="1:6" x14ac:dyDescent="0.35">
      <c r="A11" s="4" t="s">
        <v>12</v>
      </c>
      <c r="B11" s="4" t="s">
        <v>7</v>
      </c>
      <c r="C11" s="4" t="s">
        <v>9</v>
      </c>
      <c r="D11" s="6">
        <v>2000</v>
      </c>
      <c r="E11" s="6">
        <v>1700</v>
      </c>
      <c r="F11" s="7">
        <f t="shared" si="0"/>
        <v>300</v>
      </c>
    </row>
    <row r="12" spans="1:6" x14ac:dyDescent="0.35">
      <c r="A12" s="4" t="s">
        <v>12</v>
      </c>
      <c r="B12" s="4" t="s">
        <v>10</v>
      </c>
      <c r="C12" s="4" t="s">
        <v>8</v>
      </c>
      <c r="D12" s="6">
        <v>3000</v>
      </c>
      <c r="E12" s="6">
        <v>2500</v>
      </c>
      <c r="F12" s="7">
        <f t="shared" si="0"/>
        <v>500</v>
      </c>
    </row>
    <row r="13" spans="1:6" x14ac:dyDescent="0.35">
      <c r="A13" s="4" t="s">
        <v>12</v>
      </c>
      <c r="B13" s="4" t="s">
        <v>10</v>
      </c>
      <c r="C13" s="4" t="s">
        <v>9</v>
      </c>
      <c r="D13" s="6">
        <v>1500</v>
      </c>
      <c r="E13" s="6">
        <v>1300</v>
      </c>
      <c r="F13" s="7">
        <f t="shared" si="0"/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A1A5-50FE-46AC-B585-A069B4BA9A9D}">
  <dimension ref="A3:K15"/>
  <sheetViews>
    <sheetView tabSelected="1" zoomScale="80" zoomScaleNormal="80" workbookViewId="0">
      <selection activeCell="B14" sqref="B14"/>
    </sheetView>
  </sheetViews>
  <sheetFormatPr defaultRowHeight="14.5" x14ac:dyDescent="0.35"/>
  <cols>
    <col min="1" max="1" width="12.453125" bestFit="1" customWidth="1"/>
    <col min="2" max="3" width="11.54296875" bestFit="1" customWidth="1"/>
    <col min="10" max="10" width="8.453125" customWidth="1"/>
    <col min="11" max="11" width="11" customWidth="1"/>
  </cols>
  <sheetData>
    <row r="3" spans="1:11" x14ac:dyDescent="0.35">
      <c r="A3" s="8" t="s">
        <v>13</v>
      </c>
      <c r="B3" t="s">
        <v>15</v>
      </c>
      <c r="C3" t="s">
        <v>16</v>
      </c>
      <c r="F3" t="s">
        <v>17</v>
      </c>
      <c r="G3" t="s">
        <v>18</v>
      </c>
      <c r="J3" s="1"/>
      <c r="K3" s="3"/>
    </row>
    <row r="4" spans="1:11" x14ac:dyDescent="0.35">
      <c r="A4" s="9" t="s">
        <v>7</v>
      </c>
      <c r="B4" s="5">
        <v>20500</v>
      </c>
      <c r="C4" s="5">
        <v>3500</v>
      </c>
      <c r="F4" t="s">
        <v>19</v>
      </c>
      <c r="G4" s="11">
        <f>3500/20500</f>
        <v>0.17073170731707318</v>
      </c>
      <c r="J4" s="4" t="s">
        <v>1</v>
      </c>
      <c r="K4" s="2" t="s">
        <v>21</v>
      </c>
    </row>
    <row r="5" spans="1:11" x14ac:dyDescent="0.35">
      <c r="A5" s="10" t="s">
        <v>8</v>
      </c>
      <c r="B5" s="5">
        <v>13000</v>
      </c>
      <c r="C5" s="5">
        <v>2300</v>
      </c>
      <c r="F5" t="s">
        <v>20</v>
      </c>
      <c r="G5" s="12">
        <f>3100/17300</f>
        <v>0.1791907514450867</v>
      </c>
      <c r="J5" s="4" t="s">
        <v>7</v>
      </c>
      <c r="K5" s="2">
        <v>3500</v>
      </c>
    </row>
    <row r="6" spans="1:11" x14ac:dyDescent="0.35">
      <c r="A6" s="10" t="s">
        <v>9</v>
      </c>
      <c r="B6" s="5">
        <v>7500</v>
      </c>
      <c r="C6" s="5">
        <v>1200</v>
      </c>
      <c r="J6" s="4" t="s">
        <v>10</v>
      </c>
      <c r="K6" s="2">
        <v>3100</v>
      </c>
    </row>
    <row r="7" spans="1:11" x14ac:dyDescent="0.35">
      <c r="A7" s="9" t="s">
        <v>10</v>
      </c>
      <c r="B7" s="5">
        <v>17300</v>
      </c>
      <c r="C7" s="5">
        <v>3100</v>
      </c>
    </row>
    <row r="8" spans="1:11" x14ac:dyDescent="0.35">
      <c r="A8" s="10" t="s">
        <v>8</v>
      </c>
      <c r="B8" s="5">
        <v>10800</v>
      </c>
      <c r="C8" s="5">
        <v>2000</v>
      </c>
    </row>
    <row r="9" spans="1:11" x14ac:dyDescent="0.35">
      <c r="A9" s="10" t="s">
        <v>9</v>
      </c>
      <c r="B9" s="5">
        <v>6500</v>
      </c>
      <c r="C9" s="5">
        <v>1100</v>
      </c>
    </row>
    <row r="10" spans="1:11" x14ac:dyDescent="0.35">
      <c r="A10" s="9" t="s">
        <v>14</v>
      </c>
      <c r="B10" s="5">
        <v>37800</v>
      </c>
      <c r="C10" s="5">
        <v>6600</v>
      </c>
    </row>
    <row r="13" spans="1:11" x14ac:dyDescent="0.35">
      <c r="A13" t="s">
        <v>22</v>
      </c>
      <c r="B13" t="s">
        <v>23</v>
      </c>
      <c r="C13" t="s">
        <v>26</v>
      </c>
      <c r="D13" t="s">
        <v>18</v>
      </c>
    </row>
    <row r="14" spans="1:11" x14ac:dyDescent="0.35">
      <c r="A14" t="s">
        <v>24</v>
      </c>
      <c r="B14">
        <f>2300+2000</f>
        <v>4300</v>
      </c>
      <c r="C14">
        <f>13000+10800</f>
        <v>23800</v>
      </c>
      <c r="D14" s="11">
        <f>4300/23800</f>
        <v>0.18067226890756302</v>
      </c>
    </row>
    <row r="15" spans="1:11" x14ac:dyDescent="0.35">
      <c r="A15" t="s">
        <v>25</v>
      </c>
      <c r="B15">
        <f>1200+1100</f>
        <v>2300</v>
      </c>
      <c r="C15">
        <f>7500+6500</f>
        <v>14000</v>
      </c>
      <c r="D15" s="11">
        <f>2300/14000</f>
        <v>0.16428571428571428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a79328</dc:creator>
  <cp:lastModifiedBy>a79328</cp:lastModifiedBy>
  <dcterms:created xsi:type="dcterms:W3CDTF">2026-08-24T04:35:12Z</dcterms:created>
  <dcterms:modified xsi:type="dcterms:W3CDTF">2026-08-26T03:16:10Z</dcterms:modified>
</cp:coreProperties>
</file>